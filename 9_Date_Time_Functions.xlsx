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HANNAH'S EXCEL TRAINING\"/>
    </mc:Choice>
  </mc:AlternateContent>
  <xr:revisionPtr revIDLastSave="0" documentId="8_{879C675B-5873-45F1-BF84-4852607D1E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V3" i="8"/>
  <c r="V4" i="8"/>
  <c r="V5" i="8"/>
  <c r="V6" i="8"/>
  <c r="V7" i="8"/>
  <c r="V8" i="8"/>
  <c r="V9" i="8"/>
  <c r="X9" i="8" s="1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X12" i="8" s="1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X3" i="8"/>
  <c r="X5" i="8"/>
  <c r="X7" i="8"/>
  <c r="X8" i="8"/>
  <c r="X11" i="8"/>
  <c r="X15" i="8"/>
  <c r="X16" i="8"/>
  <c r="X19" i="8"/>
  <c r="X20" i="8"/>
  <c r="X21" i="8"/>
  <c r="X2" i="8"/>
  <c r="V2" i="8"/>
  <c r="U2" i="8"/>
  <c r="T2" i="8"/>
  <c r="P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N2" i="8" s="1"/>
  <c r="K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X17" i="8" l="1"/>
  <c r="X13" i="8"/>
  <c r="X18" i="8"/>
  <c r="X14" i="8"/>
  <c r="X10" i="8"/>
  <c r="X6" i="8"/>
  <c r="X4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<sst xmlns="http://schemas.openxmlformats.org/spreadsheetml/2006/main" count="471" uniqueCount="97">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</sst>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7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45973229437799E-2"/>
          <c:y val="0.13011071644153216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D45-8924-4C8832B0D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216943"/>
        <c:axId val="558214863"/>
      </c:barChart>
      <c:catAx>
        <c:axId val="55821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14863"/>
        <c:crosses val="autoZero"/>
        <c:auto val="1"/>
        <c:lblAlgn val="ctr"/>
        <c:lblOffset val="100"/>
        <c:noMultiLvlLbl val="0"/>
      </c:catAx>
      <c:valAx>
        <c:axId val="5582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1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247649</xdr:colOff>
      <xdr:row>4</xdr:row>
      <xdr:rowOff>85724</xdr:rowOff>
    </xdr:from>
    <xdr:to>
      <xdr:col>36</xdr:col>
      <xdr:colOff>561974</xdr:colOff>
      <xdr:row>18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3ECF0-4268-23CE-F0D7-B0C205ADD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J23" sqref="AJ23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0" width="10.140625" hidden="1" customWidth="1"/>
    <col min="11" max="11" width="12.28515625" hidden="1" customWidth="1"/>
    <col min="12" max="13" width="8.85546875" hidden="1" customWidth="1"/>
    <col min="14" max="14" width="14.140625" hidden="1" customWidth="1"/>
    <col min="15" max="15" width="8.85546875" hidden="1" customWidth="1"/>
    <col min="16" max="16" width="8.85546875" style="19" hidden="1" customWidth="1"/>
    <col min="17" max="17" width="8.85546875" hidden="1" customWidth="1"/>
    <col min="18" max="18" width="16" hidden="1" customWidth="1"/>
    <col min="19" max="23" width="8.85546875" hidden="1" customWidth="1"/>
    <col min="24" max="25" width="14.42578125" hidden="1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P1" s="18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DATE(L2,J2,K20)</f>
        <v>44980</v>
      </c>
      <c r="P2" s="9">
        <f ca="1">TODAY()</f>
        <v>45950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AA2" cm="1">
        <f t="array" ref="AA2:AA25">_xlfn.SEQUENCE(24,,,1)</f>
        <v>1</v>
      </c>
      <c r="AB2">
        <f>COUNTIF(_xlfn.ANCHORARRAY($I$2),AA2)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DATE(L3,J3,K21)</f>
        <v>45056</v>
      </c>
      <c r="T3">
        <f t="shared" ref="T3:T21" si="4">HOUR(D3)</f>
        <v>9</v>
      </c>
      <c r="U3">
        <f t="shared" ref="U3:U21" si="5">MINUTE(D3)</f>
        <v>45</v>
      </c>
      <c r="V3">
        <f t="shared" ref="V3:V21" si="6">SECOND(D3)</f>
        <v>32</v>
      </c>
      <c r="X3" s="13">
        <f t="shared" ref="X3:X21" si="7">TIME(T3,U3,V3)</f>
        <v>0.40662037037037035</v>
      </c>
      <c r="Y3" t="str">
        <f t="shared" ref="Y3:Y21" si="8">TEXT(D3, "HH:MM AM/PM")</f>
        <v>09:45 AM</v>
      </c>
      <c r="AA3">
        <v>2</v>
      </c>
      <c r="AB3">
        <f t="shared" ref="AB3:AB25" si="9">COUNTIF(_xlfn.ANCHORARRAY($I$2),AA3)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45107</v>
      </c>
      <c r="T4">
        <f t="shared" si="4"/>
        <v>17</v>
      </c>
      <c r="U4">
        <f t="shared" si="5"/>
        <v>30</v>
      </c>
      <c r="V4">
        <f t="shared" si="6"/>
        <v>47</v>
      </c>
      <c r="X4" s="13">
        <f t="shared" si="7"/>
        <v>0.72971064814814823</v>
      </c>
      <c r="Y4" t="str">
        <f t="shared" si="8"/>
        <v>05:30 PM</v>
      </c>
      <c r="AA4">
        <v>3</v>
      </c>
      <c r="AB4">
        <f t="shared" si="9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45169</v>
      </c>
      <c r="T5">
        <f t="shared" si="4"/>
        <v>7</v>
      </c>
      <c r="U5">
        <f t="shared" si="5"/>
        <v>15</v>
      </c>
      <c r="V5">
        <f t="shared" si="6"/>
        <v>9</v>
      </c>
      <c r="X5" s="13">
        <f t="shared" si="7"/>
        <v>0.3021875</v>
      </c>
      <c r="Y5" t="str">
        <f t="shared" si="8"/>
        <v>07:15 AM</v>
      </c>
      <c r="AA5">
        <v>4</v>
      </c>
      <c r="AB5">
        <f t="shared" si="9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45230</v>
      </c>
      <c r="T6">
        <f t="shared" si="4"/>
        <v>17</v>
      </c>
      <c r="U6">
        <f t="shared" si="5"/>
        <v>0</v>
      </c>
      <c r="V6">
        <f t="shared" si="6"/>
        <v>21</v>
      </c>
      <c r="X6" s="13">
        <f t="shared" si="7"/>
        <v>0.70857638888888885</v>
      </c>
      <c r="Y6" t="str">
        <f t="shared" si="8"/>
        <v>05:00 PM</v>
      </c>
      <c r="AA6">
        <v>5</v>
      </c>
      <c r="AB6">
        <f t="shared" si="9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45291</v>
      </c>
      <c r="T7">
        <f t="shared" si="4"/>
        <v>12</v>
      </c>
      <c r="U7">
        <f t="shared" si="5"/>
        <v>45</v>
      </c>
      <c r="V7">
        <f t="shared" si="6"/>
        <v>58</v>
      </c>
      <c r="X7" s="13">
        <f t="shared" si="7"/>
        <v>0.53192129629629636</v>
      </c>
      <c r="Y7" t="str">
        <f t="shared" si="8"/>
        <v>12:45 PM</v>
      </c>
      <c r="AA7">
        <v>6</v>
      </c>
      <c r="AB7">
        <f t="shared" si="9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45351</v>
      </c>
      <c r="T8">
        <f t="shared" si="4"/>
        <v>16</v>
      </c>
      <c r="U8">
        <f t="shared" si="5"/>
        <v>30</v>
      </c>
      <c r="V8">
        <f t="shared" si="6"/>
        <v>33</v>
      </c>
      <c r="X8" s="13">
        <f t="shared" si="7"/>
        <v>0.68788194444444439</v>
      </c>
      <c r="Y8" t="str">
        <f t="shared" si="8"/>
        <v>04:30 PM</v>
      </c>
      <c r="AA8">
        <v>7</v>
      </c>
      <c r="AB8">
        <f t="shared" si="9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45382</v>
      </c>
      <c r="T9">
        <f t="shared" si="4"/>
        <v>8</v>
      </c>
      <c r="U9">
        <f t="shared" si="5"/>
        <v>10</v>
      </c>
      <c r="V9">
        <f t="shared" si="6"/>
        <v>46</v>
      </c>
      <c r="X9" s="13">
        <f t="shared" si="7"/>
        <v>0.34081018518518519</v>
      </c>
      <c r="Y9" t="str">
        <f t="shared" si="8"/>
        <v>08:10 AM</v>
      </c>
      <c r="AA9">
        <v>8</v>
      </c>
      <c r="AB9">
        <f t="shared" si="9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45443</v>
      </c>
      <c r="T10">
        <f t="shared" si="4"/>
        <v>17</v>
      </c>
      <c r="U10">
        <f t="shared" si="5"/>
        <v>50</v>
      </c>
      <c r="V10">
        <f t="shared" si="6"/>
        <v>24</v>
      </c>
      <c r="X10" s="13">
        <f t="shared" si="7"/>
        <v>0.74333333333333329</v>
      </c>
      <c r="Y10" t="str">
        <f t="shared" si="8"/>
        <v>05:50 PM</v>
      </c>
      <c r="AA10">
        <v>9</v>
      </c>
      <c r="AB10">
        <f t="shared" si="9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45473</v>
      </c>
      <c r="T11">
        <f t="shared" si="4"/>
        <v>14</v>
      </c>
      <c r="U11">
        <f t="shared" si="5"/>
        <v>35</v>
      </c>
      <c r="V11">
        <f t="shared" si="6"/>
        <v>36</v>
      </c>
      <c r="X11" s="13">
        <f t="shared" si="7"/>
        <v>0.60805555555555557</v>
      </c>
      <c r="Y11" t="str">
        <f t="shared" si="8"/>
        <v>02:35 PM</v>
      </c>
      <c r="AA11">
        <v>10</v>
      </c>
      <c r="AB11">
        <f t="shared" si="9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45443</v>
      </c>
      <c r="T12">
        <f t="shared" si="4"/>
        <v>6</v>
      </c>
      <c r="U12">
        <f t="shared" si="5"/>
        <v>50</v>
      </c>
      <c r="V12">
        <f t="shared" si="6"/>
        <v>18</v>
      </c>
      <c r="X12" s="13">
        <f t="shared" si="7"/>
        <v>0.28493055555555552</v>
      </c>
      <c r="Y12" t="str">
        <f t="shared" si="8"/>
        <v>06:50 AM</v>
      </c>
      <c r="AA12">
        <v>11</v>
      </c>
      <c r="AB12">
        <f t="shared" si="9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44926</v>
      </c>
      <c r="T13">
        <f t="shared" si="4"/>
        <v>13</v>
      </c>
      <c r="U13">
        <f t="shared" si="5"/>
        <v>15</v>
      </c>
      <c r="V13">
        <f t="shared" si="6"/>
        <v>5</v>
      </c>
      <c r="X13" s="13">
        <f t="shared" si="7"/>
        <v>0.55214120370370368</v>
      </c>
      <c r="Y13" t="str">
        <f t="shared" si="8"/>
        <v>01:15 PM</v>
      </c>
      <c r="AA13">
        <v>12</v>
      </c>
      <c r="AB13">
        <f t="shared" si="9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44985</v>
      </c>
      <c r="T14">
        <f t="shared" si="4"/>
        <v>11</v>
      </c>
      <c r="U14">
        <f t="shared" si="5"/>
        <v>45</v>
      </c>
      <c r="V14">
        <f t="shared" si="6"/>
        <v>39</v>
      </c>
      <c r="X14" s="13">
        <f t="shared" si="7"/>
        <v>0.49003472222222227</v>
      </c>
      <c r="Y14" t="str">
        <f t="shared" si="8"/>
        <v>11:45 AM</v>
      </c>
      <c r="AA14">
        <v>13</v>
      </c>
      <c r="AB14">
        <f t="shared" si="9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45077</v>
      </c>
      <c r="T15">
        <f t="shared" si="4"/>
        <v>10</v>
      </c>
      <c r="U15">
        <f t="shared" si="5"/>
        <v>0</v>
      </c>
      <c r="V15">
        <f t="shared" si="6"/>
        <v>51</v>
      </c>
      <c r="X15" s="13">
        <f t="shared" si="7"/>
        <v>0.41725694444444444</v>
      </c>
      <c r="Y15" t="str">
        <f t="shared" si="8"/>
        <v>10:00 AM</v>
      </c>
      <c r="AA15">
        <v>14</v>
      </c>
      <c r="AB15">
        <f t="shared" si="9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45138</v>
      </c>
      <c r="T16">
        <f t="shared" si="4"/>
        <v>17</v>
      </c>
      <c r="U16">
        <f t="shared" si="5"/>
        <v>30</v>
      </c>
      <c r="V16">
        <f t="shared" si="6"/>
        <v>14</v>
      </c>
      <c r="X16" s="13">
        <f t="shared" si="7"/>
        <v>0.72932870370370362</v>
      </c>
      <c r="Y16" t="str">
        <f t="shared" si="8"/>
        <v>05:30 PM</v>
      </c>
      <c r="AA16">
        <v>15</v>
      </c>
      <c r="AB16">
        <f t="shared" si="9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45199</v>
      </c>
      <c r="T17">
        <f t="shared" si="4"/>
        <v>7</v>
      </c>
      <c r="U17">
        <f t="shared" si="5"/>
        <v>40</v>
      </c>
      <c r="V17">
        <f t="shared" si="6"/>
        <v>29</v>
      </c>
      <c r="X17" s="13">
        <f t="shared" si="7"/>
        <v>0.3197800925925926</v>
      </c>
      <c r="Y17" t="str">
        <f t="shared" si="8"/>
        <v>07:40 AM</v>
      </c>
      <c r="AA17">
        <v>16</v>
      </c>
      <c r="AB17">
        <f t="shared" si="9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45322</v>
      </c>
      <c r="T18">
        <f t="shared" si="4"/>
        <v>17</v>
      </c>
      <c r="U18">
        <f t="shared" si="5"/>
        <v>15</v>
      </c>
      <c r="V18">
        <f t="shared" si="6"/>
        <v>42</v>
      </c>
      <c r="X18" s="13">
        <f t="shared" si="7"/>
        <v>0.71923611111111108</v>
      </c>
      <c r="Y18" t="str">
        <f t="shared" si="8"/>
        <v>05:15 PM</v>
      </c>
      <c r="AA18">
        <v>17</v>
      </c>
      <c r="AB18">
        <f t="shared" si="9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45412</v>
      </c>
      <c r="T19">
        <f t="shared" si="4"/>
        <v>17</v>
      </c>
      <c r="U19">
        <f t="shared" si="5"/>
        <v>25</v>
      </c>
      <c r="V19">
        <f t="shared" si="6"/>
        <v>57</v>
      </c>
      <c r="X19" s="13">
        <f t="shared" si="7"/>
        <v>0.72635416666666675</v>
      </c>
      <c r="Y19" t="str">
        <f t="shared" si="8"/>
        <v>05:25 PM</v>
      </c>
      <c r="AA19">
        <v>18</v>
      </c>
      <c r="AB19">
        <f t="shared" si="9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45473</v>
      </c>
      <c r="T20">
        <f t="shared" si="4"/>
        <v>7</v>
      </c>
      <c r="U20">
        <f t="shared" si="5"/>
        <v>0</v>
      </c>
      <c r="V20">
        <f t="shared" si="6"/>
        <v>3</v>
      </c>
      <c r="X20" s="13">
        <f t="shared" si="7"/>
        <v>0.29170138888888891</v>
      </c>
      <c r="Y20" t="str">
        <f t="shared" si="8"/>
        <v>07:00 AM</v>
      </c>
      <c r="AA20">
        <v>19</v>
      </c>
      <c r="AB20">
        <f t="shared" si="9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45412</v>
      </c>
      <c r="T21">
        <f t="shared" si="4"/>
        <v>17</v>
      </c>
      <c r="U21">
        <f t="shared" si="5"/>
        <v>45</v>
      </c>
      <c r="V21">
        <f t="shared" si="6"/>
        <v>26</v>
      </c>
      <c r="X21" s="13">
        <f t="shared" si="7"/>
        <v>0.73988425925925927</v>
      </c>
      <c r="Y21" t="str">
        <f t="shared" si="8"/>
        <v>05:45 PM</v>
      </c>
      <c r="AA21">
        <v>20</v>
      </c>
      <c r="AB21">
        <f t="shared" si="9"/>
        <v>0</v>
      </c>
    </row>
    <row r="22" spans="1:28" x14ac:dyDescent="0.25">
      <c r="AA22">
        <v>21</v>
      </c>
      <c r="AB22">
        <f t="shared" si="9"/>
        <v>0</v>
      </c>
    </row>
    <row r="23" spans="1:28" x14ac:dyDescent="0.25">
      <c r="AA23">
        <v>22</v>
      </c>
      <c r="AB23">
        <f t="shared" si="9"/>
        <v>0</v>
      </c>
    </row>
    <row r="24" spans="1:28" x14ac:dyDescent="0.25">
      <c r="AA24">
        <v>23</v>
      </c>
      <c r="AB24">
        <f t="shared" si="9"/>
        <v>0</v>
      </c>
    </row>
    <row r="25" spans="1:28" x14ac:dyDescent="0.25">
      <c r="AA25">
        <v>24</v>
      </c>
      <c r="AB25">
        <f t="shared" si="9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45950</v>
      </c>
      <c r="R2">
        <f ca="1">DATEDIF(D2,$P$2,"D")</f>
        <v>979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895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822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777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702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648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596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542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492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470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495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999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948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872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782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732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600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532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454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User</cp:lastModifiedBy>
  <dcterms:created xsi:type="dcterms:W3CDTF">2015-06-05T18:17:20Z</dcterms:created>
  <dcterms:modified xsi:type="dcterms:W3CDTF">2025-10-20T15:20:32Z</dcterms:modified>
</cp:coreProperties>
</file>