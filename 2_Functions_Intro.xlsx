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esktop\EXCEL FORMULAR $ FUNCTION\"/>
    </mc:Choice>
  </mc:AlternateContent>
  <xr:revisionPtr revIDLastSave="0" documentId="13_ncr:1_{3B49B5FC-3ABA-42CC-A7A5-6DE663F38B16}" xr6:coauthVersionLast="47" xr6:coauthVersionMax="47" xr10:uidLastSave="{00000000-0000-0000-0000-000000000000}"/>
  <bookViews>
    <workbookView xWindow="-120" yWindow="-120" windowWidth="20730" windowHeight="1104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7" l="1"/>
  <c r="L5" i="7"/>
  <c r="L6" i="7"/>
  <c r="L7" i="7"/>
  <c r="L8" i="7"/>
  <c r="L9" i="7"/>
  <c r="L10" i="7"/>
  <c r="L11" i="7"/>
  <c r="L12" i="7"/>
  <c r="L3" i="7"/>
  <c r="M4" i="7"/>
  <c r="M5" i="7"/>
  <c r="P5" i="7" s="1"/>
  <c r="M6" i="7"/>
  <c r="M7" i="7"/>
  <c r="M8" i="7"/>
  <c r="M9" i="7"/>
  <c r="M10" i="7"/>
  <c r="M11" i="7"/>
  <c r="M12" i="7"/>
  <c r="M3" i="7"/>
  <c r="L4" i="9"/>
  <c r="L5" i="9"/>
  <c r="L6" i="9"/>
  <c r="L7" i="9"/>
  <c r="L8" i="9"/>
  <c r="L9" i="9"/>
  <c r="L10" i="9"/>
  <c r="L11" i="9"/>
  <c r="L12" i="9"/>
  <c r="L3" i="9"/>
  <c r="M4" i="9"/>
  <c r="M5" i="9"/>
  <c r="M6" i="9"/>
  <c r="M7" i="9"/>
  <c r="M8" i="9"/>
  <c r="M9" i="9"/>
  <c r="M10" i="9"/>
  <c r="M11" i="9"/>
  <c r="M12" i="9"/>
  <c r="M3" i="9"/>
  <c r="J3" i="9"/>
  <c r="K12" i="9"/>
  <c r="H12" i="9"/>
  <c r="I12" i="9" s="1"/>
  <c r="G12" i="9"/>
  <c r="F12" i="9"/>
  <c r="K11" i="9"/>
  <c r="H11" i="9"/>
  <c r="I11" i="9" s="1"/>
  <c r="G11" i="9"/>
  <c r="F11" i="9"/>
  <c r="K10" i="9"/>
  <c r="H10" i="9"/>
  <c r="I10" i="9" s="1"/>
  <c r="G10" i="9"/>
  <c r="F10" i="9"/>
  <c r="K9" i="9"/>
  <c r="H9" i="9"/>
  <c r="I9" i="9" s="1"/>
  <c r="G9" i="9"/>
  <c r="F9" i="9"/>
  <c r="K8" i="9"/>
  <c r="H8" i="9"/>
  <c r="I8" i="9" s="1"/>
  <c r="G8" i="9"/>
  <c r="F8" i="9"/>
  <c r="K7" i="9"/>
  <c r="I7" i="9"/>
  <c r="J7" i="9" s="1"/>
  <c r="H7" i="9"/>
  <c r="G7" i="9"/>
  <c r="F7" i="9"/>
  <c r="K6" i="9"/>
  <c r="H6" i="9"/>
  <c r="I6" i="9" s="1"/>
  <c r="G6" i="9"/>
  <c r="F6" i="9"/>
  <c r="K5" i="9"/>
  <c r="H5" i="9"/>
  <c r="I5" i="9" s="1"/>
  <c r="G5" i="9"/>
  <c r="F5" i="9"/>
  <c r="K4" i="9"/>
  <c r="H4" i="9"/>
  <c r="I4" i="9" s="1"/>
  <c r="G4" i="9"/>
  <c r="F4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P12" i="7"/>
  <c r="K12" i="7"/>
  <c r="H12" i="7"/>
  <c r="I12" i="7" s="1"/>
  <c r="G12" i="7"/>
  <c r="F12" i="7"/>
  <c r="K11" i="7"/>
  <c r="I11" i="7"/>
  <c r="J11" i="7" s="1"/>
  <c r="H11" i="7"/>
  <c r="G11" i="7"/>
  <c r="F11" i="7"/>
  <c r="K10" i="7"/>
  <c r="H10" i="7"/>
  <c r="I10" i="7" s="1"/>
  <c r="G10" i="7"/>
  <c r="J10" i="7" s="1"/>
  <c r="F10" i="7"/>
  <c r="K9" i="7"/>
  <c r="H9" i="7"/>
  <c r="I9" i="7" s="1"/>
  <c r="G9" i="7"/>
  <c r="P9" i="7" s="1"/>
  <c r="F9" i="7"/>
  <c r="K8" i="7"/>
  <c r="I8" i="7"/>
  <c r="J8" i="7" s="1"/>
  <c r="H8" i="7"/>
  <c r="G8" i="7"/>
  <c r="P8" i="7" s="1"/>
  <c r="F8" i="7"/>
  <c r="K7" i="7"/>
  <c r="H7" i="7"/>
  <c r="I7" i="7" s="1"/>
  <c r="G7" i="7"/>
  <c r="F7" i="7"/>
  <c r="K6" i="7"/>
  <c r="H6" i="7"/>
  <c r="I6" i="7" s="1"/>
  <c r="G6" i="7"/>
  <c r="F6" i="7"/>
  <c r="K5" i="7"/>
  <c r="I5" i="7"/>
  <c r="J5" i="7" s="1"/>
  <c r="H5" i="7"/>
  <c r="G5" i="7"/>
  <c r="F5" i="7"/>
  <c r="K4" i="7"/>
  <c r="H4" i="7"/>
  <c r="I4" i="7" s="1"/>
  <c r="G4" i="7"/>
  <c r="J4" i="7" s="1"/>
  <c r="F4" i="7"/>
  <c r="P3" i="7"/>
  <c r="K3" i="7"/>
  <c r="H3" i="7"/>
  <c r="I3" i="7" s="1"/>
  <c r="G3" i="7"/>
  <c r="F3" i="7"/>
  <c r="P6" i="7" l="1"/>
  <c r="P11" i="7"/>
  <c r="P7" i="7"/>
  <c r="J12" i="9"/>
  <c r="J11" i="9"/>
  <c r="J10" i="9"/>
  <c r="J9" i="9"/>
  <c r="N8" i="9"/>
  <c r="O8" i="9"/>
  <c r="J8" i="9"/>
  <c r="O7" i="9"/>
  <c r="N7" i="9"/>
  <c r="J6" i="9"/>
  <c r="J5" i="9"/>
  <c r="J4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P4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<sst xmlns="http://schemas.openxmlformats.org/spreadsheetml/2006/main" count="83" uniqueCount="50">
  <si>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</si>
  <si>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</si>
  <si>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</si>
  <si>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</si>
  <si>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</si>
  <si>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</si>
  <si>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</si>
  <si>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</si>
  <si>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</si>
  <si>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</si>
  <si>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</si>
  <si>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</si>
  <si>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</si>
  <si>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</si>
  <si>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</si>
  <si>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</si>
  <si>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</si>
  <si>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</si>
  <si>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</si>
  <si>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</si>
  <si>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</si>
  <si>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</si>
  <si>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</si>
  <si>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</si>
  <si>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</si>
  <si>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</si>
  <si>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</si>
  <si>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</si>
  <si>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</si>
  <si>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</si>
  <si>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</si>
  <si>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</si>
  <si>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</si>
  <si>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</si>
  <si>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</si>
  <si>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</si>
  <si>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</si>
  <si>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</si>
  <si>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</si>
  <si>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</si>
  <si>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</si>
  <si>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</si>
  <si>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</si>
  <si>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</si>
  <si>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</si>
  <si>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</si>
  <si>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</si>
  <si>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</si>
  <si>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</si>
  <si>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Experience (&lt;=)5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</si>
</sst>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topLeftCell="B1" zoomScale="120" zoomScaleNormal="120" workbookViewId="0">
      <selection activeCell="K21" sqref="K21"/>
    </sheetView>
  </sheetViews>
  <sheetFormatPr defaultColWidth="9" defaultRowHeight="15" x14ac:dyDescent="0.25"/>
  <cols>
    <col min="1" max="1" width="5.140625" style="1" customWidth="1"/>
    <col min="2" max="2" width="22.5703125" style="1" bestFit="1" customWidth="1"/>
    <col min="3" max="3" width="10.42578125" style="1" customWidth="1"/>
    <col min="4" max="4" width="12.140625" style="1" customWidth="1"/>
    <col min="5" max="5" width="11.710937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4.140625" style="1" customWidth="1"/>
    <col min="11" max="11" width="14" style="1" customWidth="1"/>
    <col min="12" max="12" width="14.42578125" style="1" customWidth="1"/>
    <col min="13" max="13" width="14.28515625" style="1" customWidth="1"/>
    <col min="14" max="14" width="14.42578125" style="1" hidden="1" customWidth="1"/>
    <col min="15" max="15" width="14.140625" style="1" hidden="1" customWidth="1"/>
    <col min="16" max="16" width="11.85546875" style="1" hidden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>$S$3&lt;=$C3</f>
        <v>1</v>
      </c>
      <c r="M3" s="22" t="b">
        <f>$S$4&gt;=$D3</f>
        <v>0</v>
      </c>
      <c r="N3" s="22">
        <f>L3*M3</f>
        <v>0</v>
      </c>
      <c r="O3" s="22" t="b">
        <f>L3*M3=1</f>
        <v>0</v>
      </c>
      <c r="P3" s="22"/>
      <c r="R3" s="10" t="s">
        <v>49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0">C4</f>
        <v>4</v>
      </c>
      <c r="G4" s="22">
        <f t="shared" ref="G4:G12" si="1">D4+E4</f>
        <v>147000</v>
      </c>
      <c r="H4" s="23">
        <f t="shared" ref="H4:H12" si="2">E4/D4</f>
        <v>8.8888888888888892E-2</v>
      </c>
      <c r="I4" s="24">
        <f t="shared" ref="I4:I12" si="3">D4+D4*H4</f>
        <v>147000</v>
      </c>
      <c r="J4" s="22" t="b">
        <f t="shared" ref="J4:J12" si="4">G4=I4</f>
        <v>1</v>
      </c>
      <c r="K4" s="22" t="b">
        <f t="shared" ref="K4:K12" si="5">E4&gt;D4</f>
        <v>0</v>
      </c>
      <c r="L4" s="22" t="b">
        <f t="shared" ref="L4:L12" si="6">$S$3&lt;=$C4</f>
        <v>0</v>
      </c>
      <c r="M4" s="22" t="b">
        <f t="shared" ref="M4:M12" si="7">$S$4&gt;=$D4</f>
        <v>0</v>
      </c>
      <c r="N4" s="22">
        <f t="shared" ref="N4:N12" si="8">L4*M4</f>
        <v>0</v>
      </c>
      <c r="O4" s="22" t="b">
        <f t="shared" ref="O4:O12" si="9">L4*M4=1</f>
        <v>0</v>
      </c>
      <c r="P4" s="22"/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0"/>
        <v>2</v>
      </c>
      <c r="G5" s="22">
        <f t="shared" si="1"/>
        <v>80000</v>
      </c>
      <c r="H5" s="23">
        <f t="shared" si="2"/>
        <v>6.6666666666666666E-2</v>
      </c>
      <c r="I5" s="24">
        <f t="shared" si="3"/>
        <v>80000</v>
      </c>
      <c r="J5" s="22" t="b">
        <f t="shared" si="4"/>
        <v>1</v>
      </c>
      <c r="K5" s="22" t="b">
        <f t="shared" si="5"/>
        <v>0</v>
      </c>
      <c r="L5" s="22" t="b">
        <f t="shared" si="6"/>
        <v>0</v>
      </c>
      <c r="M5" s="22" t="b">
        <f t="shared" si="7"/>
        <v>1</v>
      </c>
      <c r="N5" s="22">
        <f t="shared" si="8"/>
        <v>0</v>
      </c>
      <c r="O5" s="22" t="b">
        <f t="shared" si="9"/>
        <v>0</v>
      </c>
      <c r="P5" s="22"/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0"/>
        <v>6</v>
      </c>
      <c r="G6" s="22">
        <f t="shared" si="1"/>
        <v>118000</v>
      </c>
      <c r="H6" s="23">
        <f t="shared" si="2"/>
        <v>7.2727272727272724E-2</v>
      </c>
      <c r="I6" s="24">
        <f t="shared" si="3"/>
        <v>118000</v>
      </c>
      <c r="J6" s="22" t="b">
        <f t="shared" si="4"/>
        <v>1</v>
      </c>
      <c r="K6" s="22" t="b">
        <f t="shared" si="5"/>
        <v>0</v>
      </c>
      <c r="L6" s="22" t="b">
        <f t="shared" si="6"/>
        <v>1</v>
      </c>
      <c r="M6" s="22" t="b">
        <f t="shared" si="7"/>
        <v>0</v>
      </c>
      <c r="N6" s="22">
        <f t="shared" si="8"/>
        <v>0</v>
      </c>
      <c r="O6" s="22" t="b">
        <f t="shared" si="9"/>
        <v>0</v>
      </c>
      <c r="P6" s="22"/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0"/>
        <v>3</v>
      </c>
      <c r="G7" s="22">
        <f t="shared" si="1"/>
        <v>136000</v>
      </c>
      <c r="H7" s="23">
        <f t="shared" si="2"/>
        <v>8.7999999999999995E-2</v>
      </c>
      <c r="I7" s="24">
        <f t="shared" si="3"/>
        <v>136000</v>
      </c>
      <c r="J7" s="22" t="b">
        <f t="shared" si="4"/>
        <v>1</v>
      </c>
      <c r="K7" s="22" t="b">
        <f t="shared" si="5"/>
        <v>0</v>
      </c>
      <c r="L7" s="22" t="b">
        <f t="shared" si="6"/>
        <v>0</v>
      </c>
      <c r="M7" s="22" t="b">
        <f t="shared" si="7"/>
        <v>0</v>
      </c>
      <c r="N7" s="22">
        <f t="shared" si="8"/>
        <v>0</v>
      </c>
      <c r="O7" s="22" t="b">
        <f t="shared" si="9"/>
        <v>0</v>
      </c>
      <c r="P7" s="22"/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0"/>
        <v>7</v>
      </c>
      <c r="G8" s="22">
        <f t="shared" si="1"/>
        <v>97000</v>
      </c>
      <c r="H8" s="23">
        <f t="shared" si="2"/>
        <v>7.7777777777777779E-2</v>
      </c>
      <c r="I8" s="24">
        <f t="shared" si="3"/>
        <v>97000</v>
      </c>
      <c r="J8" s="22" t="b">
        <f t="shared" si="4"/>
        <v>1</v>
      </c>
      <c r="K8" s="22" t="b">
        <f t="shared" si="5"/>
        <v>0</v>
      </c>
      <c r="L8" s="22" t="b">
        <f t="shared" si="6"/>
        <v>1</v>
      </c>
      <c r="M8" s="22" t="b">
        <f t="shared" si="7"/>
        <v>1</v>
      </c>
      <c r="N8" s="22">
        <f t="shared" si="8"/>
        <v>1</v>
      </c>
      <c r="O8" s="22" t="b">
        <f t="shared" si="9"/>
        <v>1</v>
      </c>
      <c r="P8" s="22"/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0"/>
        <v>10</v>
      </c>
      <c r="G9" s="22">
        <f t="shared" si="1"/>
        <v>165000</v>
      </c>
      <c r="H9" s="23">
        <f t="shared" si="2"/>
        <v>0.1</v>
      </c>
      <c r="I9" s="24">
        <f t="shared" si="3"/>
        <v>165000</v>
      </c>
      <c r="J9" s="22" t="b">
        <f t="shared" si="4"/>
        <v>1</v>
      </c>
      <c r="K9" s="22" t="b">
        <f t="shared" si="5"/>
        <v>0</v>
      </c>
      <c r="L9" s="22" t="b">
        <f t="shared" si="6"/>
        <v>1</v>
      </c>
      <c r="M9" s="22" t="b">
        <f t="shared" si="7"/>
        <v>0</v>
      </c>
      <c r="N9" s="22">
        <f t="shared" si="8"/>
        <v>0</v>
      </c>
      <c r="O9" s="22" t="b">
        <f t="shared" si="9"/>
        <v>0</v>
      </c>
      <c r="P9" s="22"/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0"/>
        <v>8</v>
      </c>
      <c r="G10" s="22">
        <f t="shared" si="1"/>
        <v>143000</v>
      </c>
      <c r="H10" s="23">
        <f t="shared" si="2"/>
        <v>0.1</v>
      </c>
      <c r="I10" s="24">
        <f t="shared" si="3"/>
        <v>143000</v>
      </c>
      <c r="J10" s="22" t="b">
        <f t="shared" si="4"/>
        <v>1</v>
      </c>
      <c r="K10" s="22" t="b">
        <f t="shared" si="5"/>
        <v>0</v>
      </c>
      <c r="L10" s="22" t="b">
        <f t="shared" si="6"/>
        <v>1</v>
      </c>
      <c r="M10" s="22" t="b">
        <f t="shared" si="7"/>
        <v>0</v>
      </c>
      <c r="N10" s="22">
        <f t="shared" si="8"/>
        <v>0</v>
      </c>
      <c r="O10" s="22" t="b">
        <f t="shared" si="9"/>
        <v>0</v>
      </c>
      <c r="P10" s="22"/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0"/>
        <v>3</v>
      </c>
      <c r="G11" s="22">
        <f t="shared" si="1"/>
        <v>154000</v>
      </c>
      <c r="H11" s="23">
        <f t="shared" si="2"/>
        <v>0.1</v>
      </c>
      <c r="I11" s="24">
        <f t="shared" si="3"/>
        <v>154000</v>
      </c>
      <c r="J11" s="22" t="b">
        <f t="shared" si="4"/>
        <v>1</v>
      </c>
      <c r="K11" s="22" t="b">
        <f t="shared" si="5"/>
        <v>0</v>
      </c>
      <c r="L11" s="22" t="b">
        <f t="shared" si="6"/>
        <v>0</v>
      </c>
      <c r="M11" s="22" t="b">
        <f t="shared" si="7"/>
        <v>0</v>
      </c>
      <c r="N11" s="22">
        <f t="shared" si="8"/>
        <v>0</v>
      </c>
      <c r="O11" s="22" t="b">
        <f t="shared" si="9"/>
        <v>0</v>
      </c>
      <c r="P11" s="22"/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0"/>
        <v>5</v>
      </c>
      <c r="G12" s="22">
        <f t="shared" si="1"/>
        <v>124000</v>
      </c>
      <c r="H12" s="23">
        <f t="shared" si="2"/>
        <v>7.8260869565217397E-2</v>
      </c>
      <c r="I12" s="24">
        <f t="shared" si="3"/>
        <v>124000</v>
      </c>
      <c r="J12" s="22" t="b">
        <f t="shared" si="4"/>
        <v>1</v>
      </c>
      <c r="K12" s="22" t="b">
        <f t="shared" si="5"/>
        <v>0</v>
      </c>
      <c r="L12" s="22" t="b">
        <f t="shared" si="6"/>
        <v>1</v>
      </c>
      <c r="M12" s="22" t="b">
        <f t="shared" si="7"/>
        <v>0</v>
      </c>
      <c r="N12" s="22">
        <f t="shared" si="8"/>
        <v>0</v>
      </c>
      <c r="O12" s="22" t="b">
        <f t="shared" si="9"/>
        <v>0</v>
      </c>
      <c r="P12" s="22"/>
    </row>
    <row r="13" spans="2:19" ht="15.75" thickTop="1" x14ac:dyDescent="0.25">
      <c r="B13" s="29" t="s">
        <v>27</v>
      </c>
      <c r="C13" s="19"/>
      <c r="D13" s="19"/>
      <c r="E13" s="30"/>
    </row>
    <row r="14" spans="2:19" ht="15.75" thickBot="1" x14ac:dyDescent="0.3">
      <c r="B14" s="31" t="s">
        <v>28</v>
      </c>
      <c r="C14" s="20"/>
      <c r="D14" s="20"/>
      <c r="E14" s="32"/>
    </row>
    <row r="15" spans="2:19" ht="15.75" thickTop="1" x14ac:dyDescent="0.25">
      <c r="B15" s="29" t="s">
        <v>30</v>
      </c>
      <c r="C15" s="19"/>
      <c r="D15" s="19"/>
      <c r="E15" s="30"/>
    </row>
    <row r="16" spans="2:19" x14ac:dyDescent="0.25">
      <c r="B16" s="33" t="s">
        <v>31</v>
      </c>
      <c r="C16" s="18"/>
      <c r="D16" s="18"/>
      <c r="E16" s="34"/>
    </row>
    <row r="17" spans="2:5" ht="15.75" thickBot="1" x14ac:dyDescent="0.3">
      <c r="B17" s="12" t="s">
        <v>31</v>
      </c>
      <c r="C17" s="35"/>
      <c r="D17" s="35"/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topLeftCell="C1" zoomScale="120" zoomScaleNormal="120" workbookViewId="0">
      <selection activeCell="L3" sqref="L3"/>
    </sheetView>
  </sheetViews>
  <sheetFormatPr defaultColWidth="9" defaultRowHeight="15" x14ac:dyDescent="0.25"/>
  <cols>
    <col min="1" max="1" width="5.140625" style="1" customWidth="1"/>
    <col min="2" max="2" width="22.570312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5.5703125" style="1" customWidth="1"/>
    <col min="13" max="13" width="15.42578125" style="1" customWidth="1"/>
    <col min="14" max="14" width="14.7109375" style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>$S$3&lt;=$C3</f>
        <v>1</v>
      </c>
      <c r="M3" s="22" t="b">
        <f>$S$4&gt;=$D3</f>
        <v>0</v>
      </c>
      <c r="N3" s="22">
        <f>L3*M3</f>
        <v>0</v>
      </c>
      <c r="O3" s="22" t="b">
        <f>L3*M3=1</f>
        <v>0</v>
      </c>
      <c r="P3" s="22" t="b">
        <f>AND(L3,M3)</f>
        <v>0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0">C4</f>
        <v>4</v>
      </c>
      <c r="G4" s="22">
        <f t="shared" ref="G4:G12" si="1">D4+E4</f>
        <v>147000</v>
      </c>
      <c r="H4" s="23">
        <f t="shared" ref="H4:H12" si="2">E4/D4</f>
        <v>8.8888888888888892E-2</v>
      </c>
      <c r="I4" s="24">
        <f t="shared" ref="I4:I12" si="3">D4+D4*H4</f>
        <v>147000</v>
      </c>
      <c r="J4" s="22" t="b">
        <f t="shared" ref="J4:J12" si="4">G4=I4</f>
        <v>1</v>
      </c>
      <c r="K4" s="22" t="b">
        <f t="shared" ref="K4:K12" si="5">E4&gt;D4</f>
        <v>0</v>
      </c>
      <c r="L4" s="22" t="b">
        <f t="shared" ref="L4:L12" si="6">$S$3&lt;=$C4</f>
        <v>0</v>
      </c>
      <c r="M4" s="22" t="b">
        <f t="shared" ref="M4:M12" si="7">$S$4&gt;=$D4</f>
        <v>0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0"/>
        <v>2</v>
      </c>
      <c r="G5" s="22">
        <f t="shared" si="1"/>
        <v>80000</v>
      </c>
      <c r="H5" s="23">
        <f t="shared" si="2"/>
        <v>6.6666666666666666E-2</v>
      </c>
      <c r="I5" s="24">
        <f t="shared" si="3"/>
        <v>80000</v>
      </c>
      <c r="J5" s="22" t="b">
        <f t="shared" si="4"/>
        <v>1</v>
      </c>
      <c r="K5" s="22" t="b">
        <f t="shared" si="5"/>
        <v>0</v>
      </c>
      <c r="L5" s="22" t="b">
        <f t="shared" si="6"/>
        <v>0</v>
      </c>
      <c r="M5" s="22" t="b">
        <f t="shared" si="7"/>
        <v>1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0"/>
        <v>6</v>
      </c>
      <c r="G6" s="22">
        <f t="shared" si="1"/>
        <v>118000</v>
      </c>
      <c r="H6" s="23">
        <f t="shared" si="2"/>
        <v>7.2727272727272724E-2</v>
      </c>
      <c r="I6" s="24">
        <f t="shared" si="3"/>
        <v>118000</v>
      </c>
      <c r="J6" s="22" t="b">
        <f t="shared" si="4"/>
        <v>1</v>
      </c>
      <c r="K6" s="22" t="b">
        <f t="shared" si="5"/>
        <v>0</v>
      </c>
      <c r="L6" s="22" t="b">
        <f t="shared" si="6"/>
        <v>1</v>
      </c>
      <c r="M6" s="22" t="b">
        <f t="shared" si="7"/>
        <v>0</v>
      </c>
      <c r="N6" s="22">
        <f t="shared" si="8"/>
        <v>0</v>
      </c>
      <c r="O6" s="22" t="b">
        <f t="shared" si="9"/>
        <v>0</v>
      </c>
      <c r="P6" s="22" t="b">
        <f t="shared" si="10"/>
        <v>0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0"/>
        <v>3</v>
      </c>
      <c r="G7" s="22">
        <f t="shared" si="1"/>
        <v>136000</v>
      </c>
      <c r="H7" s="23">
        <f t="shared" si="2"/>
        <v>8.7999999999999995E-2</v>
      </c>
      <c r="I7" s="24">
        <f t="shared" si="3"/>
        <v>136000</v>
      </c>
      <c r="J7" s="22" t="b">
        <f t="shared" si="4"/>
        <v>1</v>
      </c>
      <c r="K7" s="22" t="b">
        <f t="shared" si="5"/>
        <v>0</v>
      </c>
      <c r="L7" s="22" t="b">
        <f t="shared" si="6"/>
        <v>0</v>
      </c>
      <c r="M7" s="22" t="b">
        <f t="shared" si="7"/>
        <v>0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0"/>
        <v>7</v>
      </c>
      <c r="G8" s="22">
        <f t="shared" si="1"/>
        <v>97000</v>
      </c>
      <c r="H8" s="23">
        <f t="shared" si="2"/>
        <v>7.7777777777777779E-2</v>
      </c>
      <c r="I8" s="24">
        <f t="shared" si="3"/>
        <v>97000</v>
      </c>
      <c r="J8" s="22" t="b">
        <f t="shared" si="4"/>
        <v>1</v>
      </c>
      <c r="K8" s="22" t="b">
        <f t="shared" si="5"/>
        <v>0</v>
      </c>
      <c r="L8" s="22" t="b">
        <f t="shared" si="6"/>
        <v>1</v>
      </c>
      <c r="M8" s="22" t="b">
        <f t="shared" si="7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0"/>
        <v>10</v>
      </c>
      <c r="G9" s="22">
        <f t="shared" si="1"/>
        <v>165000</v>
      </c>
      <c r="H9" s="23">
        <f t="shared" si="2"/>
        <v>0.1</v>
      </c>
      <c r="I9" s="24">
        <f t="shared" si="3"/>
        <v>165000</v>
      </c>
      <c r="J9" s="22" t="b">
        <f t="shared" si="4"/>
        <v>1</v>
      </c>
      <c r="K9" s="22" t="b">
        <f t="shared" si="5"/>
        <v>0</v>
      </c>
      <c r="L9" s="22" t="b">
        <f t="shared" si="6"/>
        <v>1</v>
      </c>
      <c r="M9" s="22" t="b">
        <f t="shared" si="7"/>
        <v>0</v>
      </c>
      <c r="N9" s="22">
        <f t="shared" si="8"/>
        <v>0</v>
      </c>
      <c r="O9" s="22" t="b">
        <f t="shared" si="9"/>
        <v>0</v>
      </c>
      <c r="P9" s="22" t="b">
        <f t="shared" si="10"/>
        <v>0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0"/>
        <v>8</v>
      </c>
      <c r="G10" s="22">
        <f t="shared" si="1"/>
        <v>143000</v>
      </c>
      <c r="H10" s="23">
        <f t="shared" si="2"/>
        <v>0.1</v>
      </c>
      <c r="I10" s="24">
        <f t="shared" si="3"/>
        <v>143000</v>
      </c>
      <c r="J10" s="22" t="b">
        <f t="shared" si="4"/>
        <v>1</v>
      </c>
      <c r="K10" s="22" t="b">
        <f t="shared" si="5"/>
        <v>0</v>
      </c>
      <c r="L10" s="22" t="b">
        <f t="shared" si="6"/>
        <v>1</v>
      </c>
      <c r="M10" s="22" t="b">
        <f t="shared" si="7"/>
        <v>0</v>
      </c>
      <c r="N10" s="22">
        <f t="shared" si="8"/>
        <v>0</v>
      </c>
      <c r="O10" s="22" t="b">
        <f t="shared" si="9"/>
        <v>0</v>
      </c>
      <c r="P10" s="22" t="b">
        <f t="shared" si="10"/>
        <v>0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0"/>
        <v>3</v>
      </c>
      <c r="G11" s="22">
        <f t="shared" si="1"/>
        <v>154000</v>
      </c>
      <c r="H11" s="23">
        <f t="shared" si="2"/>
        <v>0.1</v>
      </c>
      <c r="I11" s="24">
        <f t="shared" si="3"/>
        <v>154000</v>
      </c>
      <c r="J11" s="22" t="b">
        <f t="shared" si="4"/>
        <v>1</v>
      </c>
      <c r="K11" s="22" t="b">
        <f t="shared" si="5"/>
        <v>0</v>
      </c>
      <c r="L11" s="22" t="b">
        <f t="shared" si="6"/>
        <v>0</v>
      </c>
      <c r="M11" s="22" t="b">
        <f t="shared" si="7"/>
        <v>0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0"/>
        <v>5</v>
      </c>
      <c r="G12" s="22">
        <f t="shared" si="1"/>
        <v>124000</v>
      </c>
      <c r="H12" s="23">
        <f t="shared" si="2"/>
        <v>7.8260869565217397E-2</v>
      </c>
      <c r="I12" s="24">
        <f t="shared" si="3"/>
        <v>124000</v>
      </c>
      <c r="J12" s="22" t="b">
        <f t="shared" si="4"/>
        <v>1</v>
      </c>
      <c r="K12" s="22" t="b">
        <f t="shared" si="5"/>
        <v>0</v>
      </c>
      <c r="L12" s="22" t="b">
        <f t="shared" si="6"/>
        <v>1</v>
      </c>
      <c r="M12" s="22" t="b">
        <f t="shared" si="7"/>
        <v>0</v>
      </c>
      <c r="N12" s="22">
        <f t="shared" si="8"/>
        <v>0</v>
      </c>
      <c r="O12" s="22" t="b">
        <f t="shared" si="9"/>
        <v>0</v>
      </c>
      <c r="P12" s="22" t="b">
        <f t="shared" si="10"/>
        <v>0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2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 x14ac:dyDescent="0.3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5" x14ac:dyDescent="0.25"/>
  <cols>
    <col min="1" max="1" width="2.140625" customWidth="1"/>
    <col min="2" max="2" width="13.42578125" customWidth="1"/>
    <col min="3" max="3" width="31.42578125" bestFit="1" customWidth="1"/>
    <col min="4" max="4" width="60.42578125" bestFit="1" customWidth="1"/>
  </cols>
  <sheetData>
    <row r="2" spans="2:4" x14ac:dyDescent="0.25">
      <c r="B2" s="37" t="s">
        <v>32</v>
      </c>
      <c r="C2" s="37" t="s">
        <v>40</v>
      </c>
      <c r="D2" s="37" t="s">
        <v>33</v>
      </c>
    </row>
    <row r="3" spans="2:4" x14ac:dyDescent="0.25">
      <c r="B3" s="38" t="e">
        <f>1/0</f>
        <v>#DIV/0!</v>
      </c>
      <c r="C3" s="39" t="s">
        <v>41</v>
      </c>
      <c r="D3" s="38" t="s">
        <v>34</v>
      </c>
    </row>
    <row r="4" spans="2:4" x14ac:dyDescent="0.25">
      <c r="B4" s="38" t="e">
        <f>A4 + "text"</f>
        <v>#VALUE!</v>
      </c>
      <c r="C4" s="39" t="s">
        <v>42</v>
      </c>
      <c r="D4" s="38" t="s">
        <v>35</v>
      </c>
    </row>
    <row r="5" spans="2:4" x14ac:dyDescent="0.25">
      <c r="B5" s="9" t="e">
        <f>#REF!</f>
        <v>#REF!</v>
      </c>
      <c r="C5" s="39" t="s">
        <v>43</v>
      </c>
      <c r="D5" s="38" t="s">
        <v>48</v>
      </c>
    </row>
    <row r="6" spans="2:4" x14ac:dyDescent="0.2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5">
      <c r="B8" s="38" t="e">
        <f>SQRT(-1)</f>
        <v>#NUM!</v>
      </c>
      <c r="C8" s="39" t="s">
        <v>44</v>
      </c>
      <c r="D8" s="38" t="s">
        <v>38</v>
      </c>
    </row>
    <row r="9" spans="2:4" x14ac:dyDescent="0.2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2024-07-16T20:11:02Z</dcterms:created>
  <dcterms:modified xsi:type="dcterms:W3CDTF">2025-10-22T18:22:15Z</dcterms:modified>
</cp:coreProperties>
</file>